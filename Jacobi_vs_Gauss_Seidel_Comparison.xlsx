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3AB5345B-C02D-4AD3-A0AE-B31135C9EC0B}" xr6:coauthVersionLast="47" xr6:coauthVersionMax="47" xr10:uidLastSave="{00000000-0000-0000-0000-000000000000}"/>
  <bookViews>
    <workbookView xWindow="-110" yWindow="-110" windowWidth="19420" windowHeight="10300" xr2:uid="{D5EE9F1D-DF14-44F5-A7AD-34DF7F636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1" l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G28" i="1"/>
  <c r="F28" i="1"/>
  <c r="E28" i="1"/>
  <c r="D28" i="1"/>
  <c r="C28" i="1"/>
  <c r="B28" i="1"/>
  <c r="E8" i="1"/>
  <c r="D8" i="1"/>
  <c r="F19" i="1"/>
  <c r="H23" i="1"/>
  <c r="D11" i="1"/>
  <c r="D14" i="1"/>
  <c r="D22" i="1"/>
  <c r="D20" i="1"/>
  <c r="D9" i="1"/>
  <c r="G8" i="1"/>
  <c r="C8" i="1"/>
  <c r="B8" i="1"/>
  <c r="C9" i="1" l="1"/>
  <c r="G9" i="1"/>
  <c r="B9" i="1"/>
  <c r="D10" i="1" s="1"/>
  <c r="F8" i="1"/>
  <c r="E9" i="1" l="1"/>
  <c r="C10" i="1"/>
  <c r="G10" i="1"/>
  <c r="H8" i="1"/>
  <c r="F9" i="1"/>
  <c r="B10" i="1"/>
  <c r="E10" i="1" l="1"/>
  <c r="C11" i="1"/>
  <c r="G11" i="1"/>
  <c r="F10" i="1"/>
  <c r="B11" i="1"/>
  <c r="D12" i="1" s="1"/>
  <c r="H9" i="1"/>
  <c r="E11" i="1" l="1"/>
  <c r="C12" i="1"/>
  <c r="G12" i="1"/>
  <c r="F11" i="1"/>
  <c r="B12" i="1"/>
  <c r="D13" i="1" s="1"/>
  <c r="H10" i="1"/>
  <c r="E12" i="1" l="1"/>
  <c r="C13" i="1"/>
  <c r="G13" i="1"/>
  <c r="F12" i="1"/>
  <c r="B13" i="1"/>
  <c r="H11" i="1"/>
  <c r="E13" i="1" l="1"/>
  <c r="C14" i="1"/>
  <c r="G14" i="1"/>
  <c r="F13" i="1"/>
  <c r="B14" i="1"/>
  <c r="D15" i="1" s="1"/>
  <c r="H12" i="1"/>
  <c r="C15" i="1" l="1"/>
  <c r="G15" i="1"/>
  <c r="E14" i="1"/>
  <c r="B15" i="1"/>
  <c r="D16" i="1" s="1"/>
  <c r="F14" i="1"/>
  <c r="H13" i="1"/>
  <c r="E15" i="1" l="1"/>
  <c r="C16" i="1"/>
  <c r="G16" i="1"/>
  <c r="H14" i="1"/>
  <c r="F15" i="1"/>
  <c r="B16" i="1"/>
  <c r="D17" i="1" s="1"/>
  <c r="E16" i="1" l="1"/>
  <c r="C17" i="1"/>
  <c r="G17" i="1"/>
  <c r="F16" i="1"/>
  <c r="B17" i="1"/>
  <c r="D18" i="1" s="1"/>
  <c r="H15" i="1"/>
  <c r="E17" i="1" l="1"/>
  <c r="C18" i="1"/>
  <c r="G18" i="1"/>
  <c r="F17" i="1"/>
  <c r="B18" i="1"/>
  <c r="D19" i="1" s="1"/>
  <c r="H16" i="1"/>
  <c r="E18" i="1" l="1"/>
  <c r="C19" i="1"/>
  <c r="G19" i="1"/>
  <c r="F18" i="1"/>
  <c r="B19" i="1"/>
  <c r="H17" i="1"/>
  <c r="C20" i="1" l="1"/>
  <c r="G20" i="1"/>
  <c r="E19" i="1"/>
  <c r="B20" i="1"/>
  <c r="D21" i="1" s="1"/>
  <c r="H18" i="1"/>
  <c r="E20" i="1" l="1"/>
  <c r="C21" i="1"/>
  <c r="G21" i="1"/>
  <c r="F20" i="1"/>
  <c r="B21" i="1"/>
  <c r="H19" i="1"/>
  <c r="C22" i="1" l="1"/>
  <c r="G22" i="1"/>
  <c r="E21" i="1"/>
  <c r="B22" i="1"/>
  <c r="D23" i="1" s="1"/>
  <c r="F21" i="1"/>
  <c r="H20" i="1"/>
  <c r="C23" i="1" l="1"/>
  <c r="F23" i="1" s="1"/>
  <c r="G23" i="1"/>
  <c r="E22" i="1"/>
  <c r="H21" i="1"/>
  <c r="B23" i="1"/>
  <c r="E23" i="1" s="1"/>
  <c r="F22" i="1"/>
  <c r="H22" i="1" l="1"/>
</calcChain>
</file>

<file path=xl/sharedStrings.xml><?xml version="1.0" encoding="utf-8"?>
<sst xmlns="http://schemas.openxmlformats.org/spreadsheetml/2006/main" count="29" uniqueCount="19">
  <si>
    <t>X1-3X2+X3=4</t>
  </si>
  <si>
    <t>2X1-X2=-2</t>
  </si>
  <si>
    <t>4X1-3X3=0</t>
  </si>
  <si>
    <t>menjadi</t>
  </si>
  <si>
    <t>Metode Jacoby</t>
  </si>
  <si>
    <t>Iterasi ke</t>
  </si>
  <si>
    <t>X1</t>
  </si>
  <si>
    <t>X2</t>
  </si>
  <si>
    <t>X3</t>
  </si>
  <si>
    <t>Error X1</t>
  </si>
  <si>
    <t>Error X2</t>
  </si>
  <si>
    <t>Error X3</t>
  </si>
  <si>
    <t>Max Error</t>
  </si>
  <si>
    <t>X1=1/2*(-2+X2)</t>
  </si>
  <si>
    <t>X2=1/3*(X1+X3-4)</t>
  </si>
  <si>
    <t>Error relatif</t>
  </si>
  <si>
    <t>N</t>
  </si>
  <si>
    <t>X3=1/3*(4*X1)</t>
  </si>
  <si>
    <t>Metode Gauss Seidel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</si>
</sst>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166" fontId="2" fillId="0" borderId="1" xfId="0" applyNumberFormat="1" applyFont="1" applyBorder="1"/>
    <xf numFmtId="165" fontId="2" fillId="0" borderId="1" xfId="1" applyNumberFormat="1" applyFont="1" applyBorder="1"/>
    <xf numFmtId="166" fontId="2" fillId="0" borderId="0" xfId="0" applyNumberFormat="1" applyFont="1"/>
    <xf numFmtId="165" fontId="2" fillId="0" borderId="0" xfId="1" applyNumberFormat="1" applyFont="1"/>
    <xf numFmtId="164" fontId="2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166" fontId="2" fillId="2" borderId="1" xfId="0" applyNumberFormat="1" applyFont="1" applyFill="1" applyBorder="1"/>
    <xf numFmtId="165" fontId="2" fillId="2" borderId="1" xfId="1" applyNumberFormat="1" applyFont="1" applyFill="1" applyBorder="1"/>
    <xf numFmtId="0" fontId="3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EF27-812B-4122-A1E0-B50837395352}">
  <dimension ref="A1:H38"/>
  <sheetViews>
    <sheetView tabSelected="1" workbookViewId="0">
      <selection sqref="A1:I39"/>
    </sheetView>
  </sheetViews>
  <sheetFormatPr defaultRowHeight="15.5" x14ac:dyDescent="0.35"/>
  <cols>
    <col min="1" max="1" width="14.26953125" style="1" bestFit="1" customWidth="1"/>
    <col min="2" max="2" width="8.81640625" style="1" bestFit="1" customWidth="1"/>
    <col min="3" max="4" width="10.81640625" style="1" bestFit="1" customWidth="1"/>
    <col min="5" max="5" width="9.54296875" style="1" bestFit="1" customWidth="1"/>
    <col min="6" max="6" width="11.1796875" style="1" bestFit="1" customWidth="1"/>
    <col min="7" max="7" width="9.54296875" style="1" bestFit="1" customWidth="1"/>
    <col min="8" max="8" width="11.26953125" style="1" bestFit="1" customWidth="1"/>
    <col min="9" max="16384" width="8.7265625" style="1"/>
  </cols>
  <sheetData>
    <row r="1" spans="1:8" x14ac:dyDescent="0.35">
      <c r="A1" s="1" t="s">
        <v>0</v>
      </c>
      <c r="B1" s="1" t="s">
        <v>3</v>
      </c>
      <c r="C1" s="8" t="s">
        <v>13</v>
      </c>
      <c r="D1" s="8"/>
      <c r="F1" s="1" t="s">
        <v>15</v>
      </c>
      <c r="G1" s="7">
        <v>5.0000000000000001E-3</v>
      </c>
      <c r="H1" s="7"/>
    </row>
    <row r="2" spans="1:8" x14ac:dyDescent="0.35">
      <c r="A2" s="1" t="s">
        <v>1</v>
      </c>
      <c r="B2" s="1" t="s">
        <v>3</v>
      </c>
      <c r="C2" s="8" t="s">
        <v>14</v>
      </c>
      <c r="D2" s="8"/>
      <c r="F2" s="1" t="s">
        <v>16</v>
      </c>
      <c r="G2" s="1">
        <v>20</v>
      </c>
    </row>
    <row r="3" spans="1:8" x14ac:dyDescent="0.35">
      <c r="A3" s="1" t="s">
        <v>2</v>
      </c>
      <c r="B3" s="1" t="s">
        <v>3</v>
      </c>
      <c r="C3" s="8" t="s">
        <v>17</v>
      </c>
      <c r="D3" s="8"/>
    </row>
    <row r="5" spans="1:8" x14ac:dyDescent="0.35">
      <c r="A5" s="1" t="s">
        <v>4</v>
      </c>
    </row>
    <row r="6" spans="1:8" x14ac:dyDescent="0.35">
      <c r="A6" s="12" t="s">
        <v>5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2" t="s">
        <v>11</v>
      </c>
      <c r="H6" s="12" t="s">
        <v>12</v>
      </c>
    </row>
    <row r="7" spans="1:8" x14ac:dyDescent="0.35">
      <c r="A7" s="2">
        <v>0</v>
      </c>
      <c r="B7" s="2">
        <v>2</v>
      </c>
      <c r="C7" s="2">
        <v>4</v>
      </c>
      <c r="D7" s="2">
        <v>6</v>
      </c>
      <c r="E7" s="2"/>
      <c r="F7" s="2"/>
      <c r="G7" s="2"/>
      <c r="H7" s="2"/>
    </row>
    <row r="8" spans="1:8" x14ac:dyDescent="0.35">
      <c r="A8" s="2">
        <v>1</v>
      </c>
      <c r="B8" s="2">
        <f>1/2*(-2+C7)</f>
        <v>1</v>
      </c>
      <c r="C8" s="3">
        <f>1/3*(B7+D7-4)</f>
        <v>1.3333333333333333</v>
      </c>
      <c r="D8" s="3">
        <f>1/3*(4*B7)</f>
        <v>2.6666666666666665</v>
      </c>
      <c r="E8" s="2">
        <f>ABS((B8-B7)/B8)</f>
        <v>1</v>
      </c>
      <c r="F8" s="2">
        <f>ABS((C8-C7)/C8)</f>
        <v>2.0000000000000004</v>
      </c>
      <c r="G8" s="2">
        <f>ABS((D8-D7)/D8)</f>
        <v>1.2500000000000002</v>
      </c>
      <c r="H8" s="4">
        <f>MAX(E8:G8)</f>
        <v>2.0000000000000004</v>
      </c>
    </row>
    <row r="9" spans="1:8" x14ac:dyDescent="0.35">
      <c r="A9" s="2">
        <v>2</v>
      </c>
      <c r="B9" s="2">
        <f t="shared" ref="B9:B19" si="0">1/2*(-2+C8)</f>
        <v>-0.33333333333333337</v>
      </c>
      <c r="C9" s="3">
        <f t="shared" ref="C9:C19" si="1">1/3*(B8+D8-4)</f>
        <v>-0.11111111111111116</v>
      </c>
      <c r="D9" s="3">
        <f t="shared" ref="D9:D23" si="2">1/3*(4*B8)</f>
        <v>1.3333333333333333</v>
      </c>
      <c r="E9" s="2">
        <f t="shared" ref="E9:E14" si="3">ABS((B9-B8)/B9)</f>
        <v>4</v>
      </c>
      <c r="F9" s="2">
        <f t="shared" ref="F9:F14" si="4">ABS((C9-C8)/C9)</f>
        <v>12.999999999999995</v>
      </c>
      <c r="G9" s="2">
        <f t="shared" ref="G9:G14" si="5">ABS((D9-D8)/D9)</f>
        <v>1</v>
      </c>
      <c r="H9" s="4">
        <f t="shared" ref="H9:H14" si="6">MAX(E9:G9)</f>
        <v>12.999999999999995</v>
      </c>
    </row>
    <row r="10" spans="1:8" x14ac:dyDescent="0.35">
      <c r="A10" s="2">
        <v>3</v>
      </c>
      <c r="B10" s="2">
        <f t="shared" si="0"/>
        <v>-1.0555555555555556</v>
      </c>
      <c r="C10" s="3">
        <f t="shared" si="1"/>
        <v>-1</v>
      </c>
      <c r="D10" s="3">
        <f t="shared" si="2"/>
        <v>-0.44444444444444448</v>
      </c>
      <c r="E10" s="2">
        <f t="shared" si="3"/>
        <v>0.68421052631578949</v>
      </c>
      <c r="F10" s="2">
        <f t="shared" si="4"/>
        <v>0.88888888888888884</v>
      </c>
      <c r="G10" s="2">
        <f t="shared" si="5"/>
        <v>3.9999999999999996</v>
      </c>
      <c r="H10" s="4">
        <f t="shared" si="6"/>
        <v>3.9999999999999996</v>
      </c>
    </row>
    <row r="11" spans="1:8" x14ac:dyDescent="0.35">
      <c r="A11" s="2">
        <v>4</v>
      </c>
      <c r="B11" s="2">
        <f t="shared" si="0"/>
        <v>-1.5</v>
      </c>
      <c r="C11" s="3">
        <f t="shared" si="1"/>
        <v>-1.8333333333333333</v>
      </c>
      <c r="D11" s="3">
        <f>1/3*(4*B10)</f>
        <v>-1.4074074074074074</v>
      </c>
      <c r="E11" s="2">
        <f t="shared" si="3"/>
        <v>0.29629629629629628</v>
      </c>
      <c r="F11" s="2">
        <f t="shared" si="4"/>
        <v>0.45454545454545453</v>
      </c>
      <c r="G11" s="2">
        <f t="shared" si="5"/>
        <v>0.68421052631578949</v>
      </c>
      <c r="H11" s="4">
        <f t="shared" si="6"/>
        <v>0.68421052631578949</v>
      </c>
    </row>
    <row r="12" spans="1:8" x14ac:dyDescent="0.35">
      <c r="A12" s="2">
        <v>5</v>
      </c>
      <c r="B12" s="2">
        <f t="shared" si="0"/>
        <v>-1.9166666666666665</v>
      </c>
      <c r="C12" s="3">
        <f t="shared" si="1"/>
        <v>-2.3024691358024691</v>
      </c>
      <c r="D12" s="3">
        <f t="shared" si="2"/>
        <v>-2</v>
      </c>
      <c r="E12" s="2">
        <f t="shared" si="3"/>
        <v>0.21739130434782603</v>
      </c>
      <c r="F12" s="2">
        <f t="shared" si="4"/>
        <v>0.20375335120643434</v>
      </c>
      <c r="G12" s="2">
        <f t="shared" si="5"/>
        <v>0.29629629629629628</v>
      </c>
      <c r="H12" s="4">
        <f t="shared" si="6"/>
        <v>0.29629629629629628</v>
      </c>
    </row>
    <row r="13" spans="1:8" x14ac:dyDescent="0.35">
      <c r="A13" s="2">
        <v>6</v>
      </c>
      <c r="B13" s="2">
        <f t="shared" si="0"/>
        <v>-2.1512345679012346</v>
      </c>
      <c r="C13" s="3">
        <f t="shared" si="1"/>
        <v>-2.6388888888888884</v>
      </c>
      <c r="D13" s="3">
        <f t="shared" si="2"/>
        <v>-2.5555555555555554</v>
      </c>
      <c r="E13" s="2">
        <f t="shared" si="3"/>
        <v>0.10903873744619806</v>
      </c>
      <c r="F13" s="2">
        <f t="shared" si="4"/>
        <v>0.1274853801169589</v>
      </c>
      <c r="G13" s="2">
        <f t="shared" si="5"/>
        <v>0.21739130434782603</v>
      </c>
      <c r="H13" s="4">
        <f t="shared" si="6"/>
        <v>0.21739130434782603</v>
      </c>
    </row>
    <row r="14" spans="1:8" x14ac:dyDescent="0.35">
      <c r="A14" s="2">
        <v>7</v>
      </c>
      <c r="B14" s="2">
        <f t="shared" si="0"/>
        <v>-2.3194444444444442</v>
      </c>
      <c r="C14" s="3">
        <f t="shared" si="1"/>
        <v>-2.9022633744855963</v>
      </c>
      <c r="D14" s="3">
        <f>1/3*(4*B13)</f>
        <v>-2.8683127572016458</v>
      </c>
      <c r="E14" s="2">
        <f t="shared" si="3"/>
        <v>7.2521623419826917E-2</v>
      </c>
      <c r="F14" s="2">
        <f t="shared" si="4"/>
        <v>9.0747961715703707E-2</v>
      </c>
      <c r="G14" s="2">
        <f t="shared" si="5"/>
        <v>0.10903873744619796</v>
      </c>
      <c r="H14" s="4">
        <f t="shared" si="6"/>
        <v>0.10903873744619796</v>
      </c>
    </row>
    <row r="15" spans="1:8" x14ac:dyDescent="0.35">
      <c r="A15" s="2">
        <v>8</v>
      </c>
      <c r="B15" s="2">
        <f>1/2*(-2+C14)</f>
        <v>-2.451131687242798</v>
      </c>
      <c r="C15" s="3">
        <f>1/3*(B14+D14-4)</f>
        <v>-3.0625857338820297</v>
      </c>
      <c r="D15" s="3">
        <f t="shared" si="2"/>
        <v>-3.0925925925925921</v>
      </c>
      <c r="E15" s="2">
        <f>ABS((B15-B14)/B15)</f>
        <v>5.3725078698845699E-2</v>
      </c>
      <c r="F15" s="2">
        <f>ABS((C15-C14)/C15)</f>
        <v>5.2348692682380578E-2</v>
      </c>
      <c r="G15" s="2">
        <f>ABS((D15-D14)/D15)</f>
        <v>7.2521623419826958E-2</v>
      </c>
      <c r="H15" s="4">
        <f>MAX(E15:G15)</f>
        <v>7.2521623419826958E-2</v>
      </c>
    </row>
    <row r="16" spans="1:8" x14ac:dyDescent="0.35">
      <c r="A16" s="2">
        <v>9</v>
      </c>
      <c r="B16" s="2">
        <f t="shared" si="0"/>
        <v>-2.5312928669410146</v>
      </c>
      <c r="C16" s="3">
        <f t="shared" si="1"/>
        <v>-3.1812414266117965</v>
      </c>
      <c r="D16" s="3">
        <f t="shared" si="2"/>
        <v>-3.2681755829903971</v>
      </c>
      <c r="E16" s="2">
        <f t="shared" ref="E16:E19" si="7">ABS((B16-B15)/B16)</f>
        <v>3.1668077900084655E-2</v>
      </c>
      <c r="F16" s="2">
        <f t="shared" ref="F16:F18" si="8">ABS((C16-C15)/C16)</f>
        <v>3.7298550099714348E-2</v>
      </c>
      <c r="G16" s="2">
        <f t="shared" ref="G16:G19" si="9">ABS((D16-D15)/D16)</f>
        <v>5.3725078698845699E-2</v>
      </c>
      <c r="H16" s="4">
        <f t="shared" ref="H16:H19" si="10">MAX(E16:G16)</f>
        <v>5.3725078698845699E-2</v>
      </c>
    </row>
    <row r="17" spans="1:8" x14ac:dyDescent="0.35">
      <c r="A17" s="2">
        <v>10</v>
      </c>
      <c r="B17" s="2">
        <f t="shared" si="0"/>
        <v>-2.5906207133058983</v>
      </c>
      <c r="C17" s="3">
        <f t="shared" si="1"/>
        <v>-3.2664894833104707</v>
      </c>
      <c r="D17" s="3">
        <f t="shared" si="2"/>
        <v>-3.3750571559213527</v>
      </c>
      <c r="E17" s="2">
        <f t="shared" si="7"/>
        <v>2.2901015984379748E-2</v>
      </c>
      <c r="F17" s="2">
        <f t="shared" si="8"/>
        <v>2.6097759424677014E-2</v>
      </c>
      <c r="G17" s="2">
        <f t="shared" si="9"/>
        <v>3.1668077900084655E-2</v>
      </c>
      <c r="H17" s="4">
        <f t="shared" si="10"/>
        <v>3.1668077900084655E-2</v>
      </c>
    </row>
    <row r="18" spans="1:8" x14ac:dyDescent="0.35">
      <c r="A18" s="2">
        <v>11</v>
      </c>
      <c r="B18" s="2">
        <f t="shared" si="0"/>
        <v>-2.6332447416552354</v>
      </c>
      <c r="C18" s="3">
        <f t="shared" si="1"/>
        <v>-3.3218926230757502</v>
      </c>
      <c r="D18" s="3">
        <f t="shared" si="2"/>
        <v>-3.454160951074531</v>
      </c>
      <c r="E18" s="2">
        <f t="shared" si="7"/>
        <v>1.6186884445288589E-2</v>
      </c>
      <c r="F18" s="2">
        <f t="shared" si="8"/>
        <v>1.6678185014295108E-2</v>
      </c>
      <c r="G18" s="2">
        <f t="shared" si="9"/>
        <v>2.290101598437979E-2</v>
      </c>
      <c r="H18" s="4">
        <f t="shared" si="10"/>
        <v>2.290101598437979E-2</v>
      </c>
    </row>
    <row r="19" spans="1:8" x14ac:dyDescent="0.35">
      <c r="A19" s="2">
        <v>12</v>
      </c>
      <c r="B19" s="2">
        <f t="shared" si="0"/>
        <v>-2.6609463115378751</v>
      </c>
      <c r="C19" s="3">
        <f t="shared" si="1"/>
        <v>-3.3624685642432555</v>
      </c>
      <c r="D19" s="3">
        <f t="shared" si="2"/>
        <v>-3.5109929888736469</v>
      </c>
      <c r="E19" s="2">
        <f t="shared" si="7"/>
        <v>1.0410420444232786E-2</v>
      </c>
      <c r="F19" s="2">
        <f>ABS((C19-C18)/C19)</f>
        <v>1.2067307215595385E-2</v>
      </c>
      <c r="G19" s="2">
        <f t="shared" si="9"/>
        <v>1.6186884445288506E-2</v>
      </c>
      <c r="H19" s="4">
        <f t="shared" si="10"/>
        <v>1.6186884445288506E-2</v>
      </c>
    </row>
    <row r="20" spans="1:8" x14ac:dyDescent="0.35">
      <c r="A20" s="2">
        <v>13</v>
      </c>
      <c r="B20" s="2">
        <f>1/2*(-2+C19)</f>
        <v>-2.6812342821216277</v>
      </c>
      <c r="C20" s="3">
        <f>1/3*(B19+D19-4)</f>
        <v>-3.3906464334705069</v>
      </c>
      <c r="D20" s="3">
        <f>1/3*(4*B19)</f>
        <v>-3.5479284153838333</v>
      </c>
      <c r="E20" s="2">
        <f>ABS((B20-B19)/B20)</f>
        <v>7.5666534323509489E-3</v>
      </c>
      <c r="F20" s="2">
        <f>ABS((C20-C19)/C20)</f>
        <v>8.3104711093128815E-3</v>
      </c>
      <c r="G20" s="2">
        <f>ABS((D20-D19)/D20)</f>
        <v>1.0410420444232829E-2</v>
      </c>
      <c r="H20" s="4">
        <f>MAX(E20:G20)</f>
        <v>1.0410420444232829E-2</v>
      </c>
    </row>
    <row r="21" spans="1:8" x14ac:dyDescent="0.35">
      <c r="A21" s="2">
        <v>14</v>
      </c>
      <c r="B21" s="2">
        <f>1/2*(-2+C20)</f>
        <v>-2.6953232167352534</v>
      </c>
      <c r="C21" s="3">
        <f>1/3*(B20+D20-4)</f>
        <v>-3.4097208991684873</v>
      </c>
      <c r="D21" s="3">
        <f t="shared" si="2"/>
        <v>-3.5749790428288368</v>
      </c>
      <c r="E21" s="2">
        <f>ABS((B21-B20)/B21)</f>
        <v>5.2271781455179673E-3</v>
      </c>
      <c r="F21" s="2">
        <f>ABS((C21-C20)/C21)</f>
        <v>5.5941428234293419E-3</v>
      </c>
      <c r="G21" s="2">
        <f>ABS((D21-D20)/D21)</f>
        <v>7.5666534323509489E-3</v>
      </c>
      <c r="H21" s="4">
        <f>MAX(E21:G21)</f>
        <v>7.5666534323509489E-3</v>
      </c>
    </row>
    <row r="22" spans="1:8" x14ac:dyDescent="0.35">
      <c r="A22" s="2">
        <v>15</v>
      </c>
      <c r="B22" s="2">
        <f>1/2*(-2+C21)</f>
        <v>-2.7048604495842437</v>
      </c>
      <c r="C22" s="3">
        <f>1/3*(B21+D21-4)</f>
        <v>-3.4234340865213633</v>
      </c>
      <c r="D22" s="3">
        <f>1/3*(4*B21)</f>
        <v>-3.5937642889803376</v>
      </c>
      <c r="E22" s="2">
        <f>ABS((B22-B21)/B22)</f>
        <v>3.525961145409982E-3</v>
      </c>
      <c r="F22" s="2">
        <f>ABS((C22-C21)/C22)</f>
        <v>4.0056817237600966E-3</v>
      </c>
      <c r="G22" s="2">
        <f>ABS((D22-D21)/D22)</f>
        <v>5.2271781455179266E-3</v>
      </c>
      <c r="H22" s="4">
        <f>MAX(E22:G22)</f>
        <v>5.2271781455179266E-3</v>
      </c>
    </row>
    <row r="23" spans="1:8" x14ac:dyDescent="0.35">
      <c r="A23" s="9">
        <v>16</v>
      </c>
      <c r="B23" s="9">
        <f t="shared" ref="B23" si="11">1/2*(-2+C22)</f>
        <v>-2.7117170432606814</v>
      </c>
      <c r="C23" s="10">
        <f t="shared" ref="C23" si="12">1/3*(B22+D22-4)</f>
        <v>-3.4328749128548601</v>
      </c>
      <c r="D23" s="10">
        <f t="shared" si="2"/>
        <v>-3.6064805994456579</v>
      </c>
      <c r="E23" s="9">
        <f t="shared" ref="E23" si="13">ABS((B23-B22)/B23)</f>
        <v>2.5285063179722863E-3</v>
      </c>
      <c r="F23" s="9">
        <f t="shared" ref="F23" si="14">ABS((C23-C22)/C23)</f>
        <v>2.7501224405656072E-3</v>
      </c>
      <c r="G23" s="9">
        <f t="shared" ref="G23" si="15">ABS((D23-D22)/D23)</f>
        <v>3.525961145409982E-3</v>
      </c>
      <c r="H23" s="11">
        <f>MAX(E23:G23)</f>
        <v>3.525961145409982E-3</v>
      </c>
    </row>
    <row r="24" spans="1:8" x14ac:dyDescent="0.35">
      <c r="C24" s="5"/>
      <c r="D24" s="5"/>
      <c r="H24" s="6"/>
    </row>
    <row r="25" spans="1:8" x14ac:dyDescent="0.35">
      <c r="A25" s="1" t="s">
        <v>18</v>
      </c>
      <c r="C25" s="5"/>
      <c r="D25" s="5"/>
      <c r="H25" s="6"/>
    </row>
    <row r="26" spans="1:8" x14ac:dyDescent="0.35">
      <c r="A26" s="12" t="s">
        <v>5</v>
      </c>
      <c r="B26" s="12" t="s">
        <v>6</v>
      </c>
      <c r="C26" s="12" t="s">
        <v>7</v>
      </c>
      <c r="D26" s="12" t="s">
        <v>8</v>
      </c>
      <c r="E26" s="12" t="s">
        <v>9</v>
      </c>
      <c r="F26" s="12" t="s">
        <v>10</v>
      </c>
      <c r="G26" s="12" t="s">
        <v>11</v>
      </c>
      <c r="H26" s="12" t="s">
        <v>12</v>
      </c>
    </row>
    <row r="27" spans="1:8" x14ac:dyDescent="0.35">
      <c r="A27" s="2">
        <v>0</v>
      </c>
      <c r="B27" s="2">
        <v>2</v>
      </c>
      <c r="C27" s="2">
        <v>4</v>
      </c>
      <c r="D27" s="2">
        <v>6</v>
      </c>
      <c r="E27" s="2"/>
      <c r="F27" s="2"/>
      <c r="G27" s="2"/>
      <c r="H27" s="2"/>
    </row>
    <row r="28" spans="1:8" x14ac:dyDescent="0.35">
      <c r="A28" s="2">
        <v>1</v>
      </c>
      <c r="B28" s="2">
        <f>1/2*(-2+C27)</f>
        <v>1</v>
      </c>
      <c r="C28" s="2">
        <f>1/3*(B28+D27-4)</f>
        <v>1</v>
      </c>
      <c r="D28" s="2">
        <f>1/3*(4*B28)</f>
        <v>1.3333333333333333</v>
      </c>
      <c r="E28" s="2">
        <f>ABS((B28-B27)/B28)</f>
        <v>1</v>
      </c>
      <c r="F28" s="2">
        <f>ABS((C28-C27)/C28)</f>
        <v>3</v>
      </c>
      <c r="G28" s="2">
        <f>ABS((D28-D27)/D28)</f>
        <v>3.5000000000000004</v>
      </c>
      <c r="H28" s="4">
        <f>MAX(E28:G28)</f>
        <v>3.5000000000000004</v>
      </c>
    </row>
    <row r="29" spans="1:8" x14ac:dyDescent="0.35">
      <c r="A29" s="2">
        <v>2</v>
      </c>
      <c r="B29" s="2">
        <f t="shared" ref="B29:B38" si="16">1/2*(-2+C28)</f>
        <v>-0.5</v>
      </c>
      <c r="C29" s="2">
        <f t="shared" ref="C29:C38" si="17">1/3*(B29+D28-4)</f>
        <v>-1.0555555555555556</v>
      </c>
      <c r="D29" s="2">
        <f t="shared" ref="D29:D35" si="18">1/3*(4*B29)</f>
        <v>-0.66666666666666663</v>
      </c>
      <c r="E29" s="2">
        <f t="shared" ref="E29:E35" si="19">ABS((B29-B28)/B29)</f>
        <v>3</v>
      </c>
      <c r="F29" s="2">
        <f t="shared" ref="F29:F35" si="20">ABS((C29-C28)/C29)</f>
        <v>1.9473684210526314</v>
      </c>
      <c r="G29" s="2">
        <f t="shared" ref="G29:G35" si="21">ABS((D29-D28)/D29)</f>
        <v>3</v>
      </c>
      <c r="H29" s="4">
        <f t="shared" ref="H29:H35" si="22">MAX(E29:G29)</f>
        <v>3</v>
      </c>
    </row>
    <row r="30" spans="1:8" x14ac:dyDescent="0.35">
      <c r="A30" s="2">
        <v>3</v>
      </c>
      <c r="B30" s="2">
        <f t="shared" si="16"/>
        <v>-1.5277777777777777</v>
      </c>
      <c r="C30" s="2">
        <f t="shared" si="17"/>
        <v>-2.0648148148148149</v>
      </c>
      <c r="D30" s="2">
        <f t="shared" si="18"/>
        <v>-2.0370370370370368</v>
      </c>
      <c r="E30" s="2">
        <f t="shared" si="19"/>
        <v>0.67272727272727273</v>
      </c>
      <c r="F30" s="2">
        <f t="shared" si="20"/>
        <v>0.48878923766816146</v>
      </c>
      <c r="G30" s="2">
        <f t="shared" si="21"/>
        <v>0.67272727272727273</v>
      </c>
      <c r="H30" s="4">
        <f t="shared" si="22"/>
        <v>0.67272727272727273</v>
      </c>
    </row>
    <row r="31" spans="1:8" x14ac:dyDescent="0.35">
      <c r="A31" s="2">
        <v>4</v>
      </c>
      <c r="B31" s="2">
        <f t="shared" si="16"/>
        <v>-2.0324074074074074</v>
      </c>
      <c r="C31" s="2">
        <f t="shared" si="17"/>
        <v>-2.6898148148148149</v>
      </c>
      <c r="D31" s="2">
        <f t="shared" si="18"/>
        <v>-2.7098765432098766</v>
      </c>
      <c r="E31" s="2">
        <f t="shared" si="19"/>
        <v>0.24829157175398639</v>
      </c>
      <c r="F31" s="2">
        <f t="shared" si="20"/>
        <v>0.23235800344234078</v>
      </c>
      <c r="G31" s="2">
        <f t="shared" si="21"/>
        <v>0.24829157175398645</v>
      </c>
      <c r="H31" s="4">
        <f t="shared" si="22"/>
        <v>0.24829157175398645</v>
      </c>
    </row>
    <row r="32" spans="1:8" x14ac:dyDescent="0.35">
      <c r="A32" s="2">
        <v>5</v>
      </c>
      <c r="B32" s="2">
        <f t="shared" si="16"/>
        <v>-2.3449074074074074</v>
      </c>
      <c r="C32" s="2">
        <f t="shared" si="17"/>
        <v>-3.0182613168724282</v>
      </c>
      <c r="D32" s="2">
        <f t="shared" si="18"/>
        <v>-3.1265432098765431</v>
      </c>
      <c r="E32" s="2">
        <f t="shared" si="19"/>
        <v>0.13326752221125371</v>
      </c>
      <c r="F32" s="2">
        <f t="shared" si="20"/>
        <v>0.10881976991904561</v>
      </c>
      <c r="G32" s="2">
        <f t="shared" si="21"/>
        <v>0.13326752221125365</v>
      </c>
      <c r="H32" s="4">
        <f t="shared" si="22"/>
        <v>0.13326752221125371</v>
      </c>
    </row>
    <row r="33" spans="1:8" x14ac:dyDescent="0.35">
      <c r="A33" s="2">
        <v>6</v>
      </c>
      <c r="B33" s="2">
        <f t="shared" si="16"/>
        <v>-2.5091306584362139</v>
      </c>
      <c r="C33" s="2">
        <f t="shared" si="17"/>
        <v>-3.2118912894375855</v>
      </c>
      <c r="D33" s="2">
        <f t="shared" si="18"/>
        <v>-3.3455075445816185</v>
      </c>
      <c r="E33" s="2">
        <f t="shared" si="19"/>
        <v>6.5450258828353175E-2</v>
      </c>
      <c r="F33" s="2">
        <f t="shared" si="20"/>
        <v>6.0285344401884378E-2</v>
      </c>
      <c r="G33" s="2">
        <f t="shared" si="21"/>
        <v>6.5450258828353217E-2</v>
      </c>
      <c r="H33" s="4">
        <f t="shared" si="22"/>
        <v>6.5450258828353217E-2</v>
      </c>
    </row>
    <row r="34" spans="1:8" x14ac:dyDescent="0.35">
      <c r="A34" s="2">
        <v>7</v>
      </c>
      <c r="B34" s="2">
        <f t="shared" si="16"/>
        <v>-2.6059456447187928</v>
      </c>
      <c r="C34" s="2">
        <f t="shared" si="17"/>
        <v>-3.3171510631001366</v>
      </c>
      <c r="D34" s="2">
        <f t="shared" si="18"/>
        <v>-3.4745941929583903</v>
      </c>
      <c r="E34" s="2">
        <f t="shared" si="19"/>
        <v>3.7151575466964966E-2</v>
      </c>
      <c r="F34" s="2">
        <f t="shared" si="20"/>
        <v>3.1731980745000395E-2</v>
      </c>
      <c r="G34" s="2">
        <f t="shared" si="21"/>
        <v>3.7151575466964966E-2</v>
      </c>
      <c r="H34" s="4">
        <f t="shared" si="22"/>
        <v>3.7151575466964966E-2</v>
      </c>
    </row>
    <row r="35" spans="1:8" x14ac:dyDescent="0.35">
      <c r="A35" s="2">
        <v>8</v>
      </c>
      <c r="B35" s="2">
        <f t="shared" si="16"/>
        <v>-2.6585755315500683</v>
      </c>
      <c r="C35" s="2">
        <f t="shared" si="17"/>
        <v>-3.3777232415028196</v>
      </c>
      <c r="D35" s="2">
        <f t="shared" si="18"/>
        <v>-3.5447673754000908</v>
      </c>
      <c r="E35" s="2">
        <f t="shared" si="19"/>
        <v>1.9796272931388182E-2</v>
      </c>
      <c r="F35" s="2">
        <f t="shared" si="20"/>
        <v>1.7932842353221661E-2</v>
      </c>
      <c r="G35" s="2">
        <f t="shared" si="21"/>
        <v>1.9796272931388099E-2</v>
      </c>
      <c r="H35" s="4">
        <f t="shared" si="22"/>
        <v>1.9796272931388182E-2</v>
      </c>
    </row>
    <row r="36" spans="1:8" x14ac:dyDescent="0.35">
      <c r="A36" s="2">
        <v>9</v>
      </c>
      <c r="B36" s="2">
        <f t="shared" si="16"/>
        <v>-2.6888616207514096</v>
      </c>
      <c r="C36" s="2">
        <f t="shared" si="17"/>
        <v>-3.4112096653838333</v>
      </c>
      <c r="D36" s="2">
        <f t="shared" ref="D36:D38" si="23">1/3*(4*B36)</f>
        <v>-3.5851488276685459</v>
      </c>
      <c r="E36" s="2">
        <f t="shared" ref="E36:E38" si="24">ABS((B36-B35)/B36)</f>
        <v>1.1263535827804224E-2</v>
      </c>
      <c r="F36" s="2">
        <f t="shared" ref="F36:F38" si="25">ABS((C36-C35)/C36)</f>
        <v>9.816583313780514E-3</v>
      </c>
      <c r="G36" s="2">
        <f t="shared" ref="G36:G38" si="26">ABS((D36-D35)/D36)</f>
        <v>1.1263535827804266E-2</v>
      </c>
      <c r="H36" s="4">
        <f t="shared" ref="H36:H38" si="27">MAX(E36:G36)</f>
        <v>1.1263535827804266E-2</v>
      </c>
    </row>
    <row r="37" spans="1:8" x14ac:dyDescent="0.35">
      <c r="A37" s="2">
        <v>10</v>
      </c>
      <c r="B37" s="2">
        <f t="shared" si="16"/>
        <v>-2.7056048326919164</v>
      </c>
      <c r="C37" s="2">
        <f t="shared" si="17"/>
        <v>-3.4302512201201538</v>
      </c>
      <c r="D37" s="2">
        <f t="shared" si="23"/>
        <v>-3.6074731102558886</v>
      </c>
      <c r="E37" s="2">
        <f t="shared" si="24"/>
        <v>6.188343448458573E-3</v>
      </c>
      <c r="F37" s="2">
        <f t="shared" si="25"/>
        <v>5.5510671127036396E-3</v>
      </c>
      <c r="G37" s="2">
        <f t="shared" si="26"/>
        <v>6.1883434484586138E-3</v>
      </c>
      <c r="H37" s="4">
        <f t="shared" si="27"/>
        <v>6.1883434484586138E-3</v>
      </c>
    </row>
    <row r="38" spans="1:8" x14ac:dyDescent="0.35">
      <c r="A38" s="9">
        <v>11</v>
      </c>
      <c r="B38" s="9">
        <f t="shared" si="16"/>
        <v>-2.7151256100600767</v>
      </c>
      <c r="C38" s="9">
        <f t="shared" si="17"/>
        <v>-3.440866240105322</v>
      </c>
      <c r="D38" s="9">
        <f t="shared" si="23"/>
        <v>-3.6201674800801023</v>
      </c>
      <c r="E38" s="9">
        <f t="shared" si="24"/>
        <v>3.5065697634333749E-3</v>
      </c>
      <c r="F38" s="9">
        <f t="shared" si="25"/>
        <v>3.0849847812867352E-3</v>
      </c>
      <c r="G38" s="9">
        <f t="shared" si="26"/>
        <v>3.5065697634333749E-3</v>
      </c>
      <c r="H38" s="11">
        <f t="shared" si="27"/>
        <v>3.5065697634333749E-3</v>
      </c>
    </row>
  </sheetData>
  <mergeCells count="3">
    <mergeCell ref="C1:D1"/>
    <mergeCell ref="C2:D2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Putri</dc:creator>
  <cp:lastModifiedBy>Oktaviani Putri</cp:lastModifiedBy>
  <dcterms:created xsi:type="dcterms:W3CDTF">2026-04-23T03:15:36Z</dcterms:created>
  <dcterms:modified xsi:type="dcterms:W3CDTF">2026-05-23T07:11:51Z</dcterms:modified>
</cp:coreProperties>
</file>